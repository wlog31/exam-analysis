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aef1fa501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입력가이드" sheetId="1" r:id="R58bcc8ee3dc9404c"/>
    <x:sheet xmlns:r="http://schemas.openxmlformats.org/officeDocument/2006/relationships" name="문항_루브릭" sheetId="2" r:id="Ra36dc7f8313b4597"/>
    <x:sheet xmlns:r="http://schemas.openxmlformats.org/officeDocument/2006/relationships" name="학생_문항점수" sheetId="3" r:id="R0069b6456b664059"/>
    <x:sheet xmlns:r="http://schemas.openxmlformats.org/officeDocument/2006/relationships" name="범주_채점기준" sheetId="4" r:id="Rff214af0e42e43f2"/>
    <x:sheet xmlns:r="http://schemas.openxmlformats.org/officeDocument/2006/relationships" name="검증_요약" sheetId="5" r:id="Rdde2c2afed17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0F172A"/>
      <x:name val="Carlito"/>
    </x:font>
    <x:font>
      <x:b/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DBEAFE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c099abe9849e6" /><Relationship Type="http://schemas.openxmlformats.org/officeDocument/2006/relationships/theme" Target="/xl/theme/theme1.xml" Id="Rf41ab82b7cba4efb" /><Relationship Type="http://schemas.openxmlformats.org/officeDocument/2006/relationships/sharedStrings" Target="/xl/sharedStrings.xml" Id="R581ea1efa3a64671" /><Relationship Type="http://schemas.openxmlformats.org/officeDocument/2006/relationships/worksheet" Target="/xl/worksheets/sheet1.xml" Id="R58bcc8ee3dc9404c" /><Relationship Type="http://schemas.openxmlformats.org/officeDocument/2006/relationships/worksheet" Target="/xl/worksheets/sheet2.xml" Id="Ra36dc7f8313b4597" /><Relationship Type="http://schemas.openxmlformats.org/officeDocument/2006/relationships/worksheet" Target="/xl/worksheets/sheet3.xml" Id="R0069b6456b664059" /><Relationship Type="http://schemas.openxmlformats.org/officeDocument/2006/relationships/worksheet" Target="/xl/worksheets/sheet4.xml" Id="Rff214af0e42e43f2" /><Relationship Type="http://schemas.openxmlformats.org/officeDocument/2006/relationships/worksheet" Target="/xl/worksheets/sheet5.xml" Id="Rdde2c2afed174f6a" /></Relationships>
</file>

<file path=xl/tables/table1.xml><?xml version="1.0" encoding="utf-8"?>
<x:table xmlns:x="http://schemas.openxmlformats.org/spreadsheetml/2006/main" id="1" name="GuideTable" displayName="GuideTable" ref="A5:D13" headerRowCount="1">
  <x:tableColumns count="4">
    <x:tableColumn id="1" name="구분"/>
    <x:tableColumn id="2" name="필수 여부"/>
    <x:tableColumn id="3" name="어디에 입력"/>
    <x:tableColumn id="4" name="설명"/>
  </x:tableColumns>
  <x:tableStyleInfo name="TableStyleMedium2" showRowStripes="1"/>
</x:table>
</file>

<file path=xl/tables/table2.xml><?xml version="1.0" encoding="utf-8"?>
<x:table xmlns:x="http://schemas.openxmlformats.org/spreadsheetml/2006/main" id="2" name="ModelGuideTable" displayName="ModelGuideTable" ref="F5:H11" headerRowCount="1">
  <x:tableColumns count="3">
    <x:tableColumn id="1" name="분석 모델"/>
    <x:tableColumn id="2" name="필요 데이터"/>
    <x:tableColumn id="3" name="메모"/>
  </x:tableColumns>
  <x:tableStyleInfo name="TableStyleMedium2" showRowStripes="1"/>
</x:table>
</file>

<file path=xl/tables/table3.xml><?xml version="1.0" encoding="utf-8"?>
<x:table xmlns:x="http://schemas.openxmlformats.org/spreadsheetml/2006/main" id="3" name="ItemRubricTable" displayName="ItemRubricTable" ref="A3:J8" headerRowCount="1">
  <x:tableColumns count="10">
    <x:tableColumn id="1" name="item_id"/>
    <x:tableColumn id="2" name="item_type"/>
    <x:tableColumn id="3" name="content_area"/>
    <x:tableColumn id="4" name="achievement_standard"/>
    <x:tableColumn id="5" name="max_score"/>
    <x:tableColumn id="6" name="category_values"/>
    <x:tableColumn id="7" name="ordered_categories"/>
    <x:tableColumn id="8" name="model_hint"/>
    <x:tableColumn id="9" name="include_in_irt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tudentScoresTable" displayName="StudentScoresTable" ref="A4:L16" headerRowCount="1">
  <x:tableColumns count="12">
    <x:tableColumn id="1" name="student_id"/>
    <x:tableColumn id="2" name="class"/>
    <x:tableColumn id="3" name="seat"/>
    <x:tableColumn id="4" name="name"/>
    <x:tableColumn id="5" name="SA01"/>
    <x:tableColumn id="6" name="SA02"/>
    <x:tableColumn id="7" name="ES01"/>
    <x:tableColumn id="8" name="ES02"/>
    <x:tableColumn id="9" name="ES03"/>
    <x:tableColumn id="10" name="subjective_total"/>
    <x:tableColumn id="11" name="answered_items"/>
    <x:tableColumn id="12" name="missing_count"/>
  </x:tableColumns>
  <x:tableStyleInfo name="TableStyleMedium2" showRowStripes="1"/>
</x:table>
</file>

<file path=xl/tables/table5.xml><?xml version="1.0" encoding="utf-8"?>
<x:table xmlns:x="http://schemas.openxmlformats.org/spreadsheetml/2006/main" id="5" name="CategoryRubricTable" displayName="CategoryRubricTable" ref="A3:F24" headerRowCount="1">
  <x:tableColumns count="6">
    <x:tableColumn id="1" name="item_id"/>
    <x:tableColumn id="2" name="category_score"/>
    <x:tableColumn id="3" name="category_label"/>
    <x:tableColumn id="4" name="rubric_description"/>
    <x:tableColumn id="5" name="ordered_step"/>
    <x:tableColumn id="6" name="interpretation_note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SummaryTable" displayName="ValidationSummaryTable" ref="A3:H8" headerRowCount="1">
  <x:tableColumns count="8">
    <x:tableColumn id="1" name="item_id"/>
    <x:tableColumn id="2" name="max_score"/>
    <x:tableColumn id="3" name="observed_min"/>
    <x:tableColumn id="4" name="observed_max"/>
    <x:tableColumn id="5" name="blank_count"/>
    <x:tableColumn id="6" name="invalid_score_count"/>
    <x:tableColumn id="7" name="category_count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311ecc856d49b6" /><Relationship Type="http://schemas.openxmlformats.org/officeDocument/2006/relationships/table" Target="/xl/tables/table2.xml" Id="R4a62c45b0d0d40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2ae3a7eef2a4e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d6ca74082474b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ccd917a40c94c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7905026053444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25" hidden="0" customWidth="1"/>
    <x:col min="3" max="3" width="28.75" hidden="0" customWidth="1"/>
    <x:col min="4" max="4" width="52.5" hidden="0" customWidth="1"/>
    <x:col min="6" max="6" width="15" hidden="0" customWidth="1"/>
    <x:col min="7" max="7" width="26.25" hidden="0" customWidth="1"/>
    <x:col min="8" max="8" width="45" hidden="0" customWidth="1"/>
  </x:cols>
  <x:sheetData>
    <x:row r="1" ht="27" customHeight="1">
      <x:c r="A1" s="21" t="str">
        <x:v>서답형 IRT 입력 데이터 예시</x:v>
      </x:c>
      <x:c r="B1" s="21"/>
      <x:c r="C1" s="21"/>
      <x:c r="D1" s="21"/>
      <x:c r="E1" s="21"/>
      <x:c r="F1" s="21"/>
      <x:c r="G1" s="21"/>
      <x:c r="H1" s="21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8" t="str">
        <x:v>이 파일은 단답형/서술형 문항을 PCM/RSM/GRM 같은 다분형 IRT로 분석하기 위해 필요한 최소 데이터 구조 예시입니다.</x:v>
      </x:c>
      <x:c r="B3" s="8"/>
      <x:c r="C3" s="8"/>
      <x:c r="D3" s="8"/>
      <x:c r="E3" s="8"/>
      <x:c r="F3" s="8"/>
      <x:c r="G3" s="8"/>
      <x:c r="H3" s="8"/>
    </x:row>
    <x:row r="4">
      <x:c r="A4" s="22"/>
      <x:c r="B4" s="22"/>
      <x:c r="C4" s="22"/>
      <x:c r="D4" s="22"/>
      <x:c r="E4" s="22"/>
      <x:c r="F4" s="22"/>
      <x:c r="G4" s="22"/>
      <x:c r="H4" s="22"/>
    </x:row>
    <x:row r="5">
      <x:c r="A5" s="23" t="str">
        <x:v>구분</x:v>
      </x:c>
      <x:c r="B5" s="23" t="str">
        <x:v>필수 여부</x:v>
      </x:c>
      <x:c r="C5" s="23" t="str">
        <x:v>어디에 입력</x:v>
      </x:c>
      <x:c r="D5" s="23" t="str">
        <x:v>설명</x:v>
      </x:c>
      <x:c r="E5" s="22"/>
      <x:c r="F5" s="23" t="str">
        <x:v>분석 모델</x:v>
      </x:c>
      <x:c r="G5" s="23" t="str">
        <x:v>필요 데이터</x:v>
      </x:c>
      <x:c r="H5" s="23" t="str">
        <x:v>메모</x:v>
      </x:c>
    </x:row>
    <x:row r="6">
      <x:c r="A6" s="24" t="str">
        <x:v>문항 ID</x:v>
      </x:c>
      <x:c r="B6" s="24" t="str">
        <x:v>필수</x:v>
      </x:c>
      <x:c r="C6" s="24" t="str">
        <x:v>문항_루브릭 / 학생_문항점수 / 범주_채점기준</x:v>
      </x:c>
      <x:c r="D6" s="24" t="str">
        <x:v>예: SA01, ES02. 세 시트에서 동일하게 사용해야 합니다.</x:v>
      </x:c>
      <x:c r="E6" s="22"/>
      <x:c r="F6" s="24" t="str">
        <x:v>PCM</x:v>
      </x:c>
      <x:c r="G6" s="24" t="str">
        <x:v>문항별 부분점수 + 범주 순서</x:v>
      </x:c>
      <x:c r="H6" s="24" t="str">
        <x:v>문항마다 점수 범주 수가 달라도 적용 가능</x:v>
      </x:c>
    </x:row>
    <x:row r="7">
      <x:c r="A7" s="24" t="str">
        <x:v>문항별 최대점</x:v>
      </x:c>
      <x:c r="B7" s="24" t="str">
        <x:v>필수</x:v>
      </x:c>
      <x:c r="C7" s="24" t="str">
        <x:v>문항_루브릭</x:v>
      </x:c>
      <x:c r="D7" s="24" t="str">
        <x:v>부분점수 범위의 최댓값입니다. 예: 0~4점이면 max_score=4.</x:v>
      </x:c>
      <x:c r="E7" s="22"/>
      <x:c r="F7" s="24" t="str">
        <x:v>RSM</x:v>
      </x:c>
      <x:c r="G7" s="24" t="str">
        <x:v>문항별 부분점수 + 동일한 범주 구조</x:v>
      </x:c>
      <x:c r="H7" s="24" t="str">
        <x:v>모든 문항이 같은 채점 단계일 때 적합</x:v>
      </x:c>
    </x:row>
    <x:row r="8">
      <x:c r="A8" s="24" t="str">
        <x:v>학생별 문항 점수</x:v>
      </x:c>
      <x:c r="B8" s="24" t="str">
        <x:v>필수</x:v>
      </x:c>
      <x:c r="C8" s="24" t="str">
        <x:v>학생_문항점수</x:v>
      </x:c>
      <x:c r="D8" s="24" t="str">
        <x:v>학생 한 명이 각 서답형 문항에서 받은 원점수입니다. 결측은 빈칸으로 둡니다.</x:v>
      </x:c>
      <x:c r="E8" s="22"/>
      <x:c r="F8" s="24" t="str">
        <x:v>GRM</x:v>
      </x:c>
      <x:c r="G8" s="24" t="str">
        <x:v>순서형 범주 + 누적 임계값 해석</x:v>
      </x:c>
      <x:c r="H8" s="24" t="str">
        <x:v>서술형 루브릭 단계 해석에 유리</x:v>
      </x:c>
    </x:row>
    <x:row r="9">
      <x:c r="A9" s="24" t="str">
        <x:v>점수 범주</x:v>
      </x:c>
      <x:c r="B9" s="24" t="str">
        <x:v>필수</x:v>
      </x:c>
      <x:c r="C9" s="24" t="str">
        <x:v>범주_채점기준</x:v>
      </x:c>
      <x:c r="D9" s="24" t="str">
        <x:v>각 문항에서 허용되는 점수 범주입니다. 보통 0,1,2,...,max_score 순서입니다.</x:v>
      </x:c>
      <x:c r="E9" s="22"/>
      <x:c r="F9" s="24" t="str">
        <x:v>GPCM</x:v>
      </x:c>
      <x:c r="G9" s="24" t="str">
        <x:v>부분점수 + 문항별 변별도</x:v>
      </x:c>
      <x:c r="H9" s="24" t="str">
        <x:v>표본이 충분할 때 더 유연함</x:v>
      </x:c>
    </x:row>
    <x:row r="10">
      <x:c r="A10" s="24" t="str">
        <x:v>루브릭 설명</x:v>
      </x:c>
      <x:c r="B10" s="24" t="str">
        <x:v>권장</x:v>
      </x:c>
      <x:c r="C10" s="24" t="str">
        <x:v>범주_채점기준</x:v>
      </x:c>
      <x:c r="D10" s="24" t="str">
        <x:v>0점/1점/2점이 무엇을 의미하는지 텍스트로 기록합니다.</x:v>
      </x:c>
      <x:c r="E10" s="22"/>
      <x:c r="F10" s="24" t="str">
        <x:v>권장 표본</x:v>
      </x:c>
      <x:c r="G10" s="24" t="str">
        <x:v>최소 100명, 가능하면 200명 이상</x:v>
      </x:c>
      <x:c r="H10" s="24" t="str">
        <x:v>학교 단위 소표본이면 탐색적 해석</x:v>
      </x:c>
    </x:row>
    <x:row r="11">
      <x:c r="A11" s="24" t="str">
        <x:v>내용영역/성취기준</x:v>
      </x:c>
      <x:c r="B11" s="24" t="str">
        <x:v>권장</x:v>
      </x:c>
      <x:c r="C11" s="24" t="str">
        <x:v>문항_루브릭</x:v>
      </x:c>
      <x:c r="D11" s="24" t="str">
        <x:v>문항 모수 해석과 영역별 진단에 사용합니다.</x:v>
      </x:c>
      <x:c r="E11" s="22"/>
      <x:c r="F11" s="24" t="str">
        <x:v>결측 처리</x:v>
      </x:c>
      <x:c r="G11" s="24" t="str">
        <x:v>빈칸</x:v>
      </x:c>
      <x:c r="H11" s="24" t="str">
        <x:v>0점과 결측을 구분해야 합니다</x:v>
      </x:c>
    </x:row>
    <x:row r="12">
      <x:c r="A12" s="24" t="str">
        <x:v>채점자/재채점 정보</x:v>
      </x:c>
      <x:c r="B12" s="24" t="str">
        <x:v>선택</x:v>
      </x:c>
      <x:c r="C12" s="24" t="str">
        <x:v>별도 시트 추가 가능</x:v>
      </x:c>
      <x:c r="D12" s="24" t="str">
        <x:v>채점자 신뢰도 또는 재채점 분석을 하려면 추가합니다.</x:v>
      </x:c>
      <x:c r="E12" s="22"/>
      <x:c r="F12" s="22"/>
      <x:c r="G12" s="22"/>
      <x:c r="H12" s="22"/>
    </x:row>
    <x:row r="13">
      <x:c r="A13" s="24" t="str">
        <x:v>선택형/총점</x:v>
      </x:c>
      <x:c r="B13" s="24" t="str">
        <x:v>선택</x:v>
      </x:c>
      <x:c r="C13" s="24" t="str">
        <x:v>학생_문항점수</x:v>
      </x:c>
      <x:c r="D13" s="24" t="str">
        <x:v>서답형 IRT 자체에는 필수는 아니지만 종합 리포트에 유용합니다.</x:v>
      </x:c>
      <x:c r="E13" s="22"/>
      <x:c r="F13" s="22"/>
      <x:c r="G13" s="22"/>
      <x:c r="H13" s="22"/>
    </x:row>
  </x:sheetData>
  <x:mergeCells>
    <x:mergeCell ref="A1:H1"/>
    <x:mergeCell ref="A3:H3"/>
  </x:mergeCells>
  <x:pageMargins left="0.7" right="0.7" top="0.75" bottom="0.75" header="0.3" footer="0.3"/>
  <x:tableParts count="2">
    <x:tablePart xmlns:r="http://schemas.openxmlformats.org/officeDocument/2006/relationships" r:id="Re8311ecc856d49b6"/>
    <x:tablePart xmlns:r="http://schemas.openxmlformats.org/officeDocument/2006/relationships" r:id="R4a62c45b0d0d40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45" hidden="0" customWidth="1"/>
    <x:col min="5" max="5" width="10" hidden="0" customWidth="1"/>
    <x:col min="6" max="6" width="15" hidden="0" customWidth="1"/>
    <x:col min="7" max="7" width="17.5" hidden="0" customWidth="1"/>
    <x:col min="8" max="8" width="11.880000114440918" hidden="0" customWidth="1"/>
    <x:col min="9" max="9" width="11.880000114440918" hidden="0" customWidth="1"/>
    <x:col min="10" max="10" width="23.75" hidden="0" customWidth="1"/>
  </x:cols>
  <x:sheetData>
    <x:row r="1" ht="27" customHeight="1">
      <x:c r="A1" s="21" t="str">
        <x:v>문항_루브릭: 서답형 IRT 문항 메타데이터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3" t="str">
        <x:v>item_id</x:v>
      </x:c>
      <x:c r="B3" s="23" t="str">
        <x:v>item_type</x:v>
      </x:c>
      <x:c r="C3" s="23" t="str">
        <x:v>content_area</x:v>
      </x:c>
      <x:c r="D3" s="23" t="str">
        <x:v>achievement_standard</x:v>
      </x:c>
      <x:c r="E3" s="23" t="str">
        <x:v>max_score</x:v>
      </x:c>
      <x:c r="F3" s="23" t="str">
        <x:v>category_values</x:v>
      </x:c>
      <x:c r="G3" s="23" t="str">
        <x:v>ordered_categories</x:v>
      </x:c>
      <x:c r="H3" s="23" t="str">
        <x:v>model_hint</x:v>
      </x:c>
      <x:c r="I3" s="23" t="str">
        <x:v>include_in_irt</x:v>
      </x:c>
      <x:c r="J3" s="23" t="str">
        <x:v>notes</x:v>
      </x:c>
    </x:row>
    <x:row r="4">
      <x:c r="A4" s="24" t="str">
        <x:v>SA01</x:v>
      </x:c>
      <x:c r="B4" s="24" t="str">
        <x:v>단답형</x:v>
      </x:c>
      <x:c r="C4" s="24" t="str">
        <x:v>이차곡선</x:v>
      </x:c>
      <x:c r="D4" s="24" t="str">
        <x:v>포물선의 정의와 초점/준선을 이용해 식을 세운다</x:v>
      </x:c>
      <x:c r="E4" s="25" t="n">
        <x:v>2</x:v>
      </x:c>
      <x:c r="F4" s="24" t="str">
        <x:v>0,1,2</x:v>
      </x:c>
      <x:c r="G4" s="24" t="str">
        <x:v>TRUE</x:v>
      </x:c>
      <x:c r="H4" s="24" t="str">
        <x:v>PCM</x:v>
      </x:c>
      <x:c r="I4" s="24" t="str">
        <x:v>TRUE</x:v>
      </x:c>
      <x:c r="J4" s="24" t="str">
        <x:v>채점 범주 3단계</x:v>
      </x:c>
    </x:row>
    <x:row r="5">
      <x:c r="A5" s="24" t="str">
        <x:v>SA02</x:v>
      </x:c>
      <x:c r="B5" s="24" t="str">
        <x:v>단답형</x:v>
      </x:c>
      <x:c r="C5" s="24" t="str">
        <x:v>벡터</x:v>
      </x:c>
      <x:c r="D5" s="24" t="str">
        <x:v>벡터의 내적을 이용해 길이와 각을 구한다</x:v>
      </x:c>
      <x:c r="E5" s="25" t="n">
        <x:v>2</x:v>
      </x:c>
      <x:c r="F5" s="24" t="str">
        <x:v>0,1,2</x:v>
      </x:c>
      <x:c r="G5" s="24" t="str">
        <x:v>TRUE</x:v>
      </x:c>
      <x:c r="H5" s="24" t="str">
        <x:v>PCM</x:v>
      </x:c>
      <x:c r="I5" s="24" t="str">
        <x:v>TRUE</x:v>
      </x:c>
      <x:c r="J5" s="24" t="str">
        <x:v>계산 오류 부분점수 있음</x:v>
      </x:c>
    </x:row>
    <x:row r="6">
      <x:c r="A6" s="24" t="str">
        <x:v>ES01</x:v>
      </x:c>
      <x:c r="B6" s="24" t="str">
        <x:v>서술형</x:v>
      </x:c>
      <x:c r="C6" s="24" t="str">
        <x:v>공간도형</x:v>
      </x:c>
      <x:c r="D6" s="24" t="str">
        <x:v>공간좌표에서 거리와 내분점을 설명한다</x:v>
      </x:c>
      <x:c r="E6" s="25" t="n">
        <x:v>4</x:v>
      </x:c>
      <x:c r="F6" s="24" t="str">
        <x:v>0,1,2,3,4</x:v>
      </x:c>
      <x:c r="G6" s="24" t="str">
        <x:v>TRUE</x:v>
      </x:c>
      <x:c r="H6" s="24" t="str">
        <x:v>GRM</x:v>
      </x:c>
      <x:c r="I6" s="24" t="str">
        <x:v>TRUE</x:v>
      </x:c>
      <x:c r="J6" s="24" t="str">
        <x:v>풀이 과정 루브릭</x:v>
      </x:c>
    </x:row>
    <x:row r="7">
      <x:c r="A7" s="24" t="str">
        <x:v>ES02</x:v>
      </x:c>
      <x:c r="B7" s="24" t="str">
        <x:v>서술형</x:v>
      </x:c>
      <x:c r="C7" s="24" t="str">
        <x:v>평면벡터</x:v>
      </x:c>
      <x:c r="D7" s="24" t="str">
        <x:v>조건을 해석하고 벡터 방정식으로 문제를 해결한다</x:v>
      </x:c>
      <x:c r="E7" s="25" t="n">
        <x:v>3</x:v>
      </x:c>
      <x:c r="F7" s="24" t="str">
        <x:v>0,1,2,3</x:v>
      </x:c>
      <x:c r="G7" s="24" t="str">
        <x:v>TRUE</x:v>
      </x:c>
      <x:c r="H7" s="24" t="str">
        <x:v>PCM</x:v>
      </x:c>
      <x:c r="I7" s="24" t="str">
        <x:v>TRUE</x:v>
      </x:c>
      <x:c r="J7" s="24" t="str">
        <x:v>논리 전개 단계 평가</x:v>
      </x:c>
    </x:row>
    <x:row r="8">
      <x:c r="A8" s="24" t="str">
        <x:v>ES03</x:v>
      </x:c>
      <x:c r="B8" s="24" t="str">
        <x:v>서술형</x:v>
      </x:c>
      <x:c r="C8" s="24" t="str">
        <x:v>종합문제</x:v>
      </x:c>
      <x:c r="D8" s="24" t="str">
        <x:v>여러 개념을 연결해 고난도 문제를 해결한다</x:v>
      </x:c>
      <x:c r="E8" s="25" t="n">
        <x:v>5</x:v>
      </x:c>
      <x:c r="F8" s="24" t="str">
        <x:v>0,1,2,3,4,5</x:v>
      </x:c>
      <x:c r="G8" s="24" t="str">
        <x:v>TRUE</x:v>
      </x:c>
      <x:c r="H8" s="24" t="str">
        <x:v>GPCM</x:v>
      </x:c>
      <x:c r="I8" s="24" t="str">
        <x:v>TRUE</x:v>
      </x:c>
      <x:c r="J8" s="24" t="str">
        <x:v>표본 충분 시 변별도 추정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2ae3a7eef2a4e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8.75" hidden="0" customWidth="1"/>
    <x:col min="3" max="3" width="8.75" hidden="0" customWidth="1"/>
    <x:col min="4" max="4" width="8.75" hidden="0" customWidth="1"/>
    <x:col min="5" max="5" width="8.75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13.130000114440918" hidden="0" customWidth="1"/>
    <x:col min="11" max="11" width="13.130000114440918" hidden="0" customWidth="1"/>
    <x:col min="12" max="12" width="13.130000114440918" hidden="0" customWidth="1"/>
  </x:cols>
  <x:sheetData>
    <x:row r="1" ht="27" customHeight="1">
      <x:c r="A1" s="21" t="str">
        <x:v>학생_문항점수: 학생별 서답형 문항 원점수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>
      <x:c r="A2" s="8" t="str">
        <x:v>점수 0은 실제 0점, 빈칸은 결측입니다. 문항 열 이름은 문항_루브릭의 item_id와 정확히 같아야 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>
      <x:c r="A4" s="23" t="str">
        <x:v>student_id</x:v>
      </x:c>
      <x:c r="B4" s="23" t="str">
        <x:v>class</x:v>
      </x:c>
      <x:c r="C4" s="23" t="str">
        <x:v>seat</x:v>
      </x:c>
      <x:c r="D4" s="23" t="str">
        <x:v>name</x:v>
      </x:c>
      <x:c r="E4" s="23" t="str">
        <x:v>SA01</x:v>
      </x:c>
      <x:c r="F4" s="23" t="str">
        <x:v>SA02</x:v>
      </x:c>
      <x:c r="G4" s="23" t="str">
        <x:v>ES01</x:v>
      </x:c>
      <x:c r="H4" s="23" t="str">
        <x:v>ES02</x:v>
      </x:c>
      <x:c r="I4" s="23" t="str">
        <x:v>ES03</x:v>
      </x:c>
      <x:c r="J4" s="23" t="str">
        <x:v>subjective_total</x:v>
      </x:c>
      <x:c r="K4" s="23" t="str">
        <x:v>answered_items</x:v>
      </x:c>
      <x:c r="L4" s="23" t="str">
        <x:v>missing_count</x:v>
      </x:c>
    </x:row>
    <x:row r="5">
      <x:c r="A5" s="22" t="str">
        <x:v>2026010101</x:v>
      </x:c>
      <x:c r="B5" s="22" t="str">
        <x:v>1</x:v>
      </x:c>
      <x:c r="C5" s="22" t="str">
        <x:v>1</x:v>
      </x:c>
      <x:c r="D5" s="22" t="str">
        <x:v>김가람</x:v>
      </x:c>
      <x:c r="E5" s="26" t="n">
        <x:v>2</x:v>
      </x:c>
      <x:c r="F5" s="26" t="n">
        <x:v>2</x:v>
      </x:c>
      <x:c r="G5" s="26" t="n">
        <x:v>4</x:v>
      </x:c>
      <x:c r="H5" s="26" t="n">
        <x:v>3</x:v>
      </x:c>
      <x:c r="I5" s="26" t="n">
        <x:v>5</x:v>
      </x:c>
      <x:c r="J5" s="26" t="n">
        <x:f>SUM(E5:I5)</x:f>
        <x:v>16</x:v>
      </x:c>
      <x:c r="K5" s="22" t="str">
        <x:f>COUNT(E5:I5)&amp;"/"&amp;COLUMNS(E5:I5)</x:f>
        <x:v>5/5</x:v>
      </x:c>
      <x:c r="L5" s="22" t="n">
        <x:f>COUNTBLANK(E5:I5)</x:f>
        <x:v>0</x:v>
      </x:c>
    </x:row>
    <x:row r="6">
      <x:c r="A6" s="22" t="str">
        <x:v>2026010102</x:v>
      </x:c>
      <x:c r="B6" s="22" t="str">
        <x:v>1</x:v>
      </x:c>
      <x:c r="C6" s="22" t="str">
        <x:v>2</x:v>
      </x:c>
      <x:c r="D6" s="22" t="str">
        <x:v>나도윤</x:v>
      </x:c>
      <x:c r="E6" s="26" t="n">
        <x:v>1</x:v>
      </x:c>
      <x:c r="F6" s="26" t="n">
        <x:v>2</x:v>
      </x:c>
      <x:c r="G6" s="26" t="n">
        <x:v>3</x:v>
      </x:c>
      <x:c r="H6" s="26" t="n">
        <x:v>2</x:v>
      </x:c>
      <x:c r="I6" s="26" t="n">
        <x:v>4</x:v>
      </x:c>
      <x:c r="J6" s="26" t="n">
        <x:f>SUM(E6:I6)</x:f>
        <x:v>12</x:v>
      </x:c>
      <x:c r="K6" s="22" t="str">
        <x:f>COUNT(E6:I6)&amp;"/"&amp;COLUMNS(E6:I6)</x:f>
        <x:v>5/5</x:v>
      </x:c>
      <x:c r="L6" s="22" t="n">
        <x:f>COUNTBLANK(E6:I6)</x:f>
        <x:v>0</x:v>
      </x:c>
    </x:row>
    <x:row r="7">
      <x:c r="A7" s="22" t="str">
        <x:v>2026010103</x:v>
      </x:c>
      <x:c r="B7" s="22" t="str">
        <x:v>1</x:v>
      </x:c>
      <x:c r="C7" s="22" t="str">
        <x:v>3</x:v>
      </x:c>
      <x:c r="D7" s="22" t="str">
        <x:v>박서윤</x:v>
      </x:c>
      <x:c r="E7" s="26" t="n">
        <x:v>2</x:v>
      </x:c>
      <x:c r="F7" s="26" t="n">
        <x:v>1</x:v>
      </x:c>
      <x:c r="G7" s="26" t="n">
        <x:v>2</x:v>
      </x:c>
      <x:c r="H7" s="26" t="n">
        <x:v>2</x:v>
      </x:c>
      <x:c r="I7" s="26" t="n">
        <x:v>3</x:v>
      </x:c>
      <x:c r="J7" s="26" t="n">
        <x:f>SUM(E7:I7)</x:f>
        <x:v>10</x:v>
      </x:c>
      <x:c r="K7" s="22" t="str">
        <x:f>COUNT(E7:I7)&amp;"/"&amp;COLUMNS(E7:I7)</x:f>
        <x:v>5/5</x:v>
      </x:c>
      <x:c r="L7" s="22" t="n">
        <x:f>COUNTBLANK(E7:I7)</x:f>
        <x:v>0</x:v>
      </x:c>
    </x:row>
    <x:row r="8">
      <x:c r="A8" s="22" t="str">
        <x:v>2026010104</x:v>
      </x:c>
      <x:c r="B8" s="22" t="str">
        <x:v>1</x:v>
      </x:c>
      <x:c r="C8" s="22" t="str">
        <x:v>4</x:v>
      </x:c>
      <x:c r="D8" s="22" t="str">
        <x:v>이하준</x:v>
      </x:c>
      <x:c r="E8" s="26" t="n">
        <x:v>0</x:v>
      </x:c>
      <x:c r="F8" s="26" t="n">
        <x:v>1</x:v>
      </x:c>
      <x:c r="G8" s="26" t="n">
        <x:v>1</x:v>
      </x:c>
      <x:c r="H8" s="26" t="n">
        <x:v>1</x:v>
      </x:c>
      <x:c r="I8" s="26" t="n">
        <x:v>2</x:v>
      </x:c>
      <x:c r="J8" s="26" t="n">
        <x:f>SUM(E8:I8)</x:f>
        <x:v>5</x:v>
      </x:c>
      <x:c r="K8" s="22" t="str">
        <x:f>COUNT(E8:I8)&amp;"/"&amp;COLUMNS(E8:I8)</x:f>
        <x:v>5/5</x:v>
      </x:c>
      <x:c r="L8" s="22" t="n">
        <x:f>COUNTBLANK(E8:I8)</x:f>
        <x:v>0</x:v>
      </x:c>
    </x:row>
    <x:row r="9">
      <x:c r="A9" s="22" t="str">
        <x:v>2026010105</x:v>
      </x:c>
      <x:c r="B9" s="22" t="str">
        <x:v>1</x:v>
      </x:c>
      <x:c r="C9" s="22" t="str">
        <x:v>5</x:v>
      </x:c>
      <x:c r="D9" s="22" t="str">
        <x:v>최민서</x:v>
      </x:c>
      <x:c r="E9" s="26" t="n">
        <x:v>2</x:v>
      </x:c>
      <x:c r="F9" s="26" t="n">
        <x:v>2</x:v>
      </x:c>
      <x:c r="G9" s="26" t="n">
        <x:v>4</x:v>
      </x:c>
      <x:c r="H9" s="26" t="n">
        <x:v>2</x:v>
      </x:c>
      <x:c r="I9" s="26" t="n">
        <x:v>4</x:v>
      </x:c>
      <x:c r="J9" s="26" t="n">
        <x:f>SUM(E9:I9)</x:f>
        <x:v>14</x:v>
      </x:c>
      <x:c r="K9" s="22" t="str">
        <x:f>COUNT(E9:I9)&amp;"/"&amp;COLUMNS(E9:I9)</x:f>
        <x:v>5/5</x:v>
      </x:c>
      <x:c r="L9" s="22" t="n">
        <x:f>COUNTBLANK(E9:I9)</x:f>
        <x:v>0</x:v>
      </x:c>
    </x:row>
    <x:row r="10">
      <x:c r="A10" s="22" t="str">
        <x:v>2026010106</x:v>
      </x:c>
      <x:c r="B10" s="22" t="str">
        <x:v>1</x:v>
      </x:c>
      <x:c r="C10" s="22" t="str">
        <x:v>6</x:v>
      </x:c>
      <x:c r="D10" s="22" t="str">
        <x:v>정지우</x:v>
      </x:c>
      <x:c r="E10" s="26" t="n">
        <x:v>1</x:v>
      </x:c>
      <x:c r="F10" s="26" t="n">
        <x:v>0</x:v>
      </x:c>
      <x:c r="G10" s="26" t="n">
        <x:v>2</x:v>
      </x:c>
      <x:c r="H10" s="26" t="n">
        <x:v>1</x:v>
      </x:c>
      <x:c r="I10" s="26" t="n">
        <x:v>2</x:v>
      </x:c>
      <x:c r="J10" s="26" t="n">
        <x:f>SUM(E10:I10)</x:f>
        <x:v>6</x:v>
      </x:c>
      <x:c r="K10" s="22" t="str">
        <x:f>COUNT(E10:I10)&amp;"/"&amp;COLUMNS(E10:I10)</x:f>
        <x:v>5/5</x:v>
      </x:c>
      <x:c r="L10" s="22" t="n">
        <x:f>COUNTBLANK(E10:I10)</x:f>
        <x:v>0</x:v>
      </x:c>
    </x:row>
    <x:row r="11">
      <x:c r="A11" s="22" t="str">
        <x:v>2026010107</x:v>
      </x:c>
      <x:c r="B11" s="22" t="str">
        <x:v>2</x:v>
      </x:c>
      <x:c r="C11" s="22" t="str">
        <x:v>1</x:v>
      </x:c>
      <x:c r="D11" s="22" t="str">
        <x:v>한서준</x:v>
      </x:c>
      <x:c r="E11" s="26" t="n">
        <x:v>2</x:v>
      </x:c>
      <x:c r="F11" s="26" t="n">
        <x:v>1</x:v>
      </x:c>
      <x:c r="G11" s="26" t="n">
        <x:v>3</x:v>
      </x:c>
      <x:c r="H11" s="26" t="n">
        <x:v>3</x:v>
      </x:c>
      <x:c r="I11" s="26" t="n">
        <x:v>4</x:v>
      </x:c>
      <x:c r="J11" s="26" t="n">
        <x:f>SUM(E11:I11)</x:f>
        <x:v>13</x:v>
      </x:c>
      <x:c r="K11" s="22" t="str">
        <x:f>COUNT(E11:I11)&amp;"/"&amp;COLUMNS(E11:I11)</x:f>
        <x:v>5/5</x:v>
      </x:c>
      <x:c r="L11" s="22" t="n">
        <x:f>COUNTBLANK(E11:I11)</x:f>
        <x:v>0</x:v>
      </x:c>
    </x:row>
    <x:row r="12">
      <x:c r="A12" s="22" t="str">
        <x:v>2026010108</x:v>
      </x:c>
      <x:c r="B12" s="22" t="str">
        <x:v>2</x:v>
      </x:c>
      <x:c r="C12" s="22" t="str">
        <x:v>2</x:v>
      </x:c>
      <x:c r="D12" s="22" t="str">
        <x:v>오유진</x:v>
      </x:c>
      <x:c r="E12" s="26" t="n">
        <x:v>0</x:v>
      </x:c>
      <x:c r="F12" s="26" t="n">
        <x:v>0</x:v>
      </x:c>
      <x:c r="G12" s="26" t="n">
        <x:v>1</x:v>
      </x:c>
      <x:c r="H12" s="26" t="n">
        <x:v>0</x:v>
      </x:c>
      <x:c r="I12" s="26" t="n">
        <x:v>1</x:v>
      </x:c>
      <x:c r="J12" s="26" t="n">
        <x:f>SUM(E12:I12)</x:f>
        <x:v>2</x:v>
      </x:c>
      <x:c r="K12" s="22" t="str">
        <x:f>COUNT(E12:I12)&amp;"/"&amp;COLUMNS(E12:I12)</x:f>
        <x:v>5/5</x:v>
      </x:c>
      <x:c r="L12" s="22" t="n">
        <x:f>COUNTBLANK(E12:I12)</x:f>
        <x:v>0</x:v>
      </x:c>
    </x:row>
    <x:row r="13">
      <x:c r="A13" s="22" t="str">
        <x:v>2026010109</x:v>
      </x:c>
      <x:c r="B13" s="22" t="str">
        <x:v>2</x:v>
      </x:c>
      <x:c r="C13" s="22" t="str">
        <x:v>3</x:v>
      </x:c>
      <x:c r="D13" s="22" t="str">
        <x:v>문하린</x:v>
      </x:c>
      <x:c r="E13" s="26" t="n">
        <x:v>1</x:v>
      </x:c>
      <x:c r="F13" s="26" t="n">
        <x:v>2</x:v>
      </x:c>
      <x:c r="G13" s="26" t="n">
        <x:v>3</x:v>
      </x:c>
      <x:c r="H13" s="26" t="n">
        <x:v>2</x:v>
      </x:c>
      <x:c r="I13" s="26" t="str"/>
      <x:c r="J13" s="26" t="n">
        <x:f>SUM(E13:I13)</x:f>
        <x:v>8</x:v>
      </x:c>
      <x:c r="K13" s="22" t="str">
        <x:f>COUNT(E13:I13)&amp;"/"&amp;COLUMNS(E13:I13)</x:f>
        <x:v>4/5</x:v>
      </x:c>
      <x:c r="L13" s="22" t="n">
        <x:f>COUNTBLANK(E13:I13)</x:f>
        <x:v>1</x:v>
      </x:c>
    </x:row>
    <x:row r="14">
      <x:c r="A14" s="22" t="str">
        <x:v>2026010110</x:v>
      </x:c>
      <x:c r="B14" s="22" t="str">
        <x:v>2</x:v>
      </x:c>
      <x:c r="C14" s="22" t="str">
        <x:v>4</x:v>
      </x:c>
      <x:c r="D14" s="22" t="str">
        <x:v>장시온</x:v>
      </x:c>
      <x:c r="E14" s="26" t="n">
        <x:v>2</x:v>
      </x:c>
      <x:c r="F14" s="26" t="n">
        <x:v>2</x:v>
      </x:c>
      <x:c r="G14" s="26" t="n">
        <x:v>4</x:v>
      </x:c>
      <x:c r="H14" s="26" t="n">
        <x:v>3</x:v>
      </x:c>
      <x:c r="I14" s="26" t="n">
        <x:v>5</x:v>
      </x:c>
      <x:c r="J14" s="26" t="n">
        <x:f>SUM(E14:I14)</x:f>
        <x:v>16</x:v>
      </x:c>
      <x:c r="K14" s="22" t="str">
        <x:f>COUNT(E14:I14)&amp;"/"&amp;COLUMNS(E14:I14)</x:f>
        <x:v>5/5</x:v>
      </x:c>
      <x:c r="L14" s="22" t="n">
        <x:f>COUNTBLANK(E14:I14)</x:f>
        <x:v>0</x:v>
      </x:c>
    </x:row>
    <x:row r="15">
      <x:c r="A15" s="22" t="str">
        <x:v>2026010111</x:v>
      </x:c>
      <x:c r="B15" s="22" t="str">
        <x:v>2</x:v>
      </x:c>
      <x:c r="C15" s="22" t="str">
        <x:v>5</x:v>
      </x:c>
      <x:c r="D15" s="22" t="str">
        <x:v>강윤아</x:v>
      </x:c>
      <x:c r="E15" s="26" t="n">
        <x:v>1</x:v>
      </x:c>
      <x:c r="F15" s="26" t="n">
        <x:v>1</x:v>
      </x:c>
      <x:c r="G15" s="26" t="n">
        <x:v>2</x:v>
      </x:c>
      <x:c r="H15" s="26" t="n">
        <x:v>2</x:v>
      </x:c>
      <x:c r="I15" s="26" t="n">
        <x:v>3</x:v>
      </x:c>
      <x:c r="J15" s="26" t="n">
        <x:f>SUM(E15:I15)</x:f>
        <x:v>9</x:v>
      </x:c>
      <x:c r="K15" s="22" t="str">
        <x:f>COUNT(E15:I15)&amp;"/"&amp;COLUMNS(E15:I15)</x:f>
        <x:v>5/5</x:v>
      </x:c>
      <x:c r="L15" s="22" t="n">
        <x:f>COUNTBLANK(E15:I15)</x:f>
        <x:v>0</x:v>
      </x:c>
    </x:row>
    <x:row r="16">
      <x:c r="A16" s="22" t="str">
        <x:v>2026010112</x:v>
      </x:c>
      <x:c r="B16" s="22" t="str">
        <x:v>2</x:v>
      </x:c>
      <x:c r="C16" s="22" t="str">
        <x:v>6</x:v>
      </x:c>
      <x:c r="D16" s="22" t="str">
        <x:v>송태오</x:v>
      </x:c>
      <x:c r="E16" s="26" t="n">
        <x:v>0</x:v>
      </x:c>
      <x:c r="F16" s="26" t="n">
        <x:v>1</x:v>
      </x:c>
      <x:c r="G16" s="26" t="n">
        <x:v>0</x:v>
      </x:c>
      <x:c r="H16" s="26" t="n">
        <x:v>1</x:v>
      </x:c>
      <x:c r="I16" s="26" t="n">
        <x:v>1</x:v>
      </x:c>
      <x:c r="J16" s="26" t="n">
        <x:f>SUM(E16:I16)</x:f>
        <x:v>3</x:v>
      </x:c>
      <x:c r="K16" s="22" t="str">
        <x:f>COUNT(E16:I16)&amp;"/"&amp;COLUMNS(E16:I16)</x:f>
        <x:v>5/5</x:v>
      </x:c>
      <x:c r="L16" s="22" t="n">
        <x:f>COUNTBLANK(E16:I16)</x:f>
        <x:v>0</x:v>
      </x:c>
    </x:row>
  </x:sheetData>
  <x:mergeCells>
    <x:mergeCell ref="A1:L1"/>
    <x:mergeCell ref="A2:L2"/>
  </x:mergeCells>
  <x:conditionalFormatting sqref="L5:L16">
    <x:cfRule type="cellIs" dxfId="2" priority="1" operator="greaterThan">
      <x:formula>0</x:formula>
    </x:cfRule>
  </x:conditionalFormatting>
  <x:dataValidations count="5">
    <x:dataValidation type="whole" operator="between" sqref="E5:E200">
      <x:formula1>0</x:formula1>
      <x:formula2>2</x:formula2>
    </x:dataValidation>
    <x:dataValidation type="whole" operator="between" sqref="F5:F200">
      <x:formula1>0</x:formula1>
      <x:formula2>2</x:formula2>
    </x:dataValidation>
    <x:dataValidation type="whole" operator="between" sqref="G5:G200">
      <x:formula1>0</x:formula1>
      <x:formula2>4</x:formula2>
    </x:dataValidation>
    <x:dataValidation type="whole" operator="between" sqref="H5:H200">
      <x:formula1>0</x:formula1>
      <x:formula2>3</x:formula2>
    </x:dataValidation>
    <x:dataValidation type="whole" operator="between" sqref="I5:I200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d6ca74082474b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.630000114440918" hidden="0" customWidth="1"/>
    <x:col min="3" max="3" width="15" hidden="0" customWidth="1"/>
    <x:col min="4" max="4" width="52.5" hidden="0" customWidth="1"/>
    <x:col min="5" max="5" width="14.380000114440918" hidden="0" customWidth="1"/>
    <x:col min="6" max="6" width="22.5" hidden="0" customWidth="1"/>
  </x:cols>
  <x:sheetData>
    <x:row r="1" ht="27" customHeight="1">
      <x:c r="A1" s="21" t="str">
        <x:v>범주_채점기준: 문항별 점수 범주와 루브릭 의미</x:v>
      </x:c>
      <x:c r="B1" s="21"/>
      <x:c r="C1" s="21"/>
      <x:c r="D1" s="21"/>
      <x:c r="E1" s="21"/>
      <x:c r="F1" s="21"/>
    </x:row>
    <x:row r="2">
      <x:c r="A2" s="22"/>
      <x:c r="B2" s="22"/>
      <x:c r="C2" s="22"/>
      <x:c r="D2" s="22"/>
      <x:c r="E2" s="22"/>
      <x:c r="F2" s="22"/>
    </x:row>
    <x:row r="3">
      <x:c r="A3" s="23" t="str">
        <x:v>item_id</x:v>
      </x:c>
      <x:c r="B3" s="23" t="str">
        <x:v>category_score</x:v>
      </x:c>
      <x:c r="C3" s="23" t="str">
        <x:v>category_label</x:v>
      </x:c>
      <x:c r="D3" s="23" t="str">
        <x:v>rubric_description</x:v>
      </x:c>
      <x:c r="E3" s="23" t="str">
        <x:v>ordered_step</x:v>
      </x:c>
      <x:c r="F3" s="23" t="str">
        <x:v>interpretation_note</x:v>
      </x:c>
    </x:row>
    <x:row r="4">
      <x:c r="A4" s="24" t="str">
        <x:v>SA01</x:v>
      </x:c>
      <x:c r="B4" s="25" t="n">
        <x:v>0</x:v>
      </x:c>
      <x:c r="C4" s="24" t="str">
        <x:v>오답/무응답</x:v>
      </x:c>
      <x:c r="D4" s="24" t="str">
        <x:v>핵심 조건을 사용하지 못함</x:v>
      </x:c>
      <x:c r="E4" s="24" t="n">
        <x:v>1</x:v>
      </x:c>
      <x:c r="F4" s="24" t="str">
        <x:v>가장 낮은 성취 단계</x:v>
      </x:c>
    </x:row>
    <x:row r="5">
      <x:c r="A5" s="24" t="str">
        <x:v>SA01</x:v>
      </x:c>
      <x:c r="B5" s="25" t="n">
        <x:v>1</x:v>
      </x:c>
      <x:c r="C5" s="24" t="str">
        <x:v>부분 정답</x:v>
      </x:c>
      <x:c r="D5" s="24" t="str">
        <x:v>초점 또는 준선 중 하나를 바르게 활용함</x:v>
      </x:c>
      <x:c r="E5" s="24" t="n">
        <x:v>2</x:v>
      </x:c>
      <x:c r="F5" s="24" t="str">
        <x:v>중간 단계</x:v>
      </x:c>
    </x:row>
    <x:row r="6">
      <x:c r="A6" s="24" t="str">
        <x:v>SA01</x:v>
      </x:c>
      <x:c r="B6" s="25" t="n">
        <x:v>2</x:v>
      </x:c>
      <x:c r="C6" s="24" t="str">
        <x:v>완전 정답</x:v>
      </x:c>
      <x:c r="D6" s="24" t="str">
        <x:v>정의 적용과 식 도출이 모두 정확함</x:v>
      </x:c>
      <x:c r="E6" s="24" t="n">
        <x:v>3</x:v>
      </x:c>
      <x:c r="F6" s="24" t="str">
        <x:v>목표 성취</x:v>
      </x:c>
    </x:row>
    <x:row r="7">
      <x:c r="A7" s="24" t="str">
        <x:v>SA02</x:v>
      </x:c>
      <x:c r="B7" s="25" t="n">
        <x:v>0</x:v>
      </x:c>
      <x:c r="C7" s="24" t="str">
        <x:v>오답</x:v>
      </x:c>
      <x:c r="D7" s="24" t="str">
        <x:v>내적 식 설정이 되지 않음</x:v>
      </x:c>
      <x:c r="E7" s="24" t="n">
        <x:v>1</x:v>
      </x:c>
      <x:c r="F7" s="24" t="str">
        <x:v>가장 낮은 성취 단계</x:v>
      </x:c>
    </x:row>
    <x:row r="8">
      <x:c r="A8" s="24" t="str">
        <x:v>SA02</x:v>
      </x:c>
      <x:c r="B8" s="25" t="n">
        <x:v>1</x:v>
      </x:c>
      <x:c r="C8" s="24" t="str">
        <x:v>부분 정답</x:v>
      </x:c>
      <x:c r="D8" s="24" t="str">
        <x:v>식은 세웠으나 계산 또는 단위 실수</x:v>
      </x:c>
      <x:c r="E8" s="24" t="n">
        <x:v>2</x:v>
      </x:c>
      <x:c r="F8" s="24" t="str">
        <x:v>중간 단계</x:v>
      </x:c>
    </x:row>
    <x:row r="9">
      <x:c r="A9" s="24" t="str">
        <x:v>SA02</x:v>
      </x:c>
      <x:c r="B9" s="25" t="n">
        <x:v>2</x:v>
      </x:c>
      <x:c r="C9" s="24" t="str">
        <x:v>완전 정답</x:v>
      </x:c>
      <x:c r="D9" s="24" t="str">
        <x:v>내적 계산과 결론이 모두 정확함</x:v>
      </x:c>
      <x:c r="E9" s="24" t="n">
        <x:v>3</x:v>
      </x:c>
      <x:c r="F9" s="24" t="str">
        <x:v>목표 성취</x:v>
      </x:c>
    </x:row>
    <x:row r="10">
      <x:c r="A10" s="24" t="str">
        <x:v>ES01</x:v>
      </x:c>
      <x:c r="B10" s="25" t="n">
        <x:v>0</x:v>
      </x:c>
      <x:c r="C10" s="24" t="str">
        <x:v>무근거/오답</x:v>
      </x:c>
      <x:c r="D10" s="24" t="str">
        <x:v>풀이 과정이 없거나 핵심 개념 오류</x:v>
      </x:c>
      <x:c r="E10" s="24" t="n">
        <x:v>1</x:v>
      </x:c>
      <x:c r="F10" s="24" t="str">
        <x:v>가장 낮은 성취 단계</x:v>
      </x:c>
    </x:row>
    <x:row r="11">
      <x:c r="A11" s="24" t="str">
        <x:v>ES01</x:v>
      </x:c>
      <x:c r="B11" s="25" t="n">
        <x:v>1</x:v>
      </x:c>
      <x:c r="C11" s="24" t="str">
        <x:v>개념 단서</x:v>
      </x:c>
      <x:c r="D11" s="24" t="str">
        <x:v>거리/내분점 개념 중 일부만 제시</x:v>
      </x:c>
      <x:c r="E11" s="24" t="n">
        <x:v>2</x:v>
      </x:c>
      <x:c r="F11" s="24" t="str">
        <x:v>초기 단계</x:v>
      </x:c>
    </x:row>
    <x:row r="12">
      <x:c r="A12" s="24" t="str">
        <x:v>ES01</x:v>
      </x:c>
      <x:c r="B12" s="25" t="n">
        <x:v>2</x:v>
      </x:c>
      <x:c r="C12" s="24" t="str">
        <x:v>부분 전개</x:v>
      </x:c>
      <x:c r="D12" s="24" t="str">
        <x:v>좌표 설정은 맞으나 계산 또는 설명이 부족</x:v>
      </x:c>
      <x:c r="E12" s="24" t="n">
        <x:v>3</x:v>
      </x:c>
      <x:c r="F12" s="24" t="str">
        <x:v>부분 성취</x:v>
      </x:c>
    </x:row>
    <x:row r="13">
      <x:c r="A13" s="24" t="str">
        <x:v>ES01</x:v>
      </x:c>
      <x:c r="B13" s="25" t="n">
        <x:v>3</x:v>
      </x:c>
      <x:c r="C13" s="24" t="str">
        <x:v>거의 완성</x:v>
      </x:c>
      <x:c r="D13" s="24" t="str">
        <x:v>풀이 흐름은 타당하나 표현 또는 마무리 오류</x:v>
      </x:c>
      <x:c r="E13" s="24" t="n">
        <x:v>4</x:v>
      </x:c>
      <x:c r="F13" s="24" t="str">
        <x:v>상위 부분점수</x:v>
      </x:c>
    </x:row>
    <x:row r="14">
      <x:c r="A14" s="24" t="str">
        <x:v>ES01</x:v>
      </x:c>
      <x:c r="B14" s="25" t="n">
        <x:v>4</x:v>
      </x:c>
      <x:c r="C14" s="24" t="str">
        <x:v>완전 정답</x:v>
      </x:c>
      <x:c r="D14" s="24" t="str">
        <x:v>계산과 설명이 모두 논리적으로 완성</x:v>
      </x:c>
      <x:c r="E14" s="24" t="n">
        <x:v>5</x:v>
      </x:c>
      <x:c r="F14" s="24" t="str">
        <x:v>목표 성취</x:v>
      </x:c>
    </x:row>
    <x:row r="15">
      <x:c r="A15" s="24" t="str">
        <x:v>ES02</x:v>
      </x:c>
      <x:c r="B15" s="25" t="n">
        <x:v>0</x:v>
      </x:c>
      <x:c r="C15" s="24" t="str">
        <x:v>오답</x:v>
      </x:c>
      <x:c r="D15" s="24" t="str">
        <x:v>조건 해석 실패</x:v>
      </x:c>
      <x:c r="E15" s="24" t="n">
        <x:v>1</x:v>
      </x:c>
      <x:c r="F15" s="24" t="str">
        <x:v>가장 낮은 성취 단계</x:v>
      </x:c>
    </x:row>
    <x:row r="16">
      <x:c r="A16" s="24" t="str">
        <x:v>ES02</x:v>
      </x:c>
      <x:c r="B16" s="25" t="n">
        <x:v>1</x:v>
      </x:c>
      <x:c r="C16" s="24" t="str">
        <x:v>조건 파악</x:v>
      </x:c>
      <x:c r="D16" s="24" t="str">
        <x:v>조건 일부를 식으로 옮김</x:v>
      </x:c>
      <x:c r="E16" s="24" t="n">
        <x:v>2</x:v>
      </x:c>
      <x:c r="F16" s="24" t="str">
        <x:v>초기 단계</x:v>
      </x:c>
    </x:row>
    <x:row r="17">
      <x:c r="A17" s="24" t="str">
        <x:v>ES02</x:v>
      </x:c>
      <x:c r="B17" s="25" t="n">
        <x:v>2</x:v>
      </x:c>
      <x:c r="C17" s="24" t="str">
        <x:v>부분 해결</x:v>
      </x:c>
      <x:c r="D17" s="24" t="str">
        <x:v>주요 식은 맞으나 결론 도출 미흡</x:v>
      </x:c>
      <x:c r="E17" s="24" t="n">
        <x:v>3</x:v>
      </x:c>
      <x:c r="F17" s="24" t="str">
        <x:v>부분 성취</x:v>
      </x:c>
    </x:row>
    <x:row r="18">
      <x:c r="A18" s="24" t="str">
        <x:v>ES02</x:v>
      </x:c>
      <x:c r="B18" s="25" t="n">
        <x:v>3</x:v>
      </x:c>
      <x:c r="C18" s="24" t="str">
        <x:v>완전 정답</x:v>
      </x:c>
      <x:c r="D18" s="24" t="str">
        <x:v>조건 해석, 식 전개, 결론이 모두 적절함</x:v>
      </x:c>
      <x:c r="E18" s="24" t="n">
        <x:v>4</x:v>
      </x:c>
      <x:c r="F18" s="24" t="str">
        <x:v>목표 성취</x:v>
      </x:c>
    </x:row>
    <x:row r="19">
      <x:c r="A19" s="24" t="str">
        <x:v>ES03</x:v>
      </x:c>
      <x:c r="B19" s="25" t="n">
        <x:v>0</x:v>
      </x:c>
      <x:c r="C19" s="24" t="str">
        <x:v>오답</x:v>
      </x:c>
      <x:c r="D19" s="24" t="str">
        <x:v>복합 조건을 거의 처리하지 못함</x:v>
      </x:c>
      <x:c r="E19" s="24" t="n">
        <x:v>1</x:v>
      </x:c>
      <x:c r="F19" s="24" t="str">
        <x:v>가장 낮은 성취 단계</x:v>
      </x:c>
    </x:row>
    <x:row r="20">
      <x:c r="A20" s="24" t="str">
        <x:v>ES03</x:v>
      </x:c>
      <x:c r="B20" s="25" t="n">
        <x:v>1</x:v>
      </x:c>
      <x:c r="C20" s="24" t="str">
        <x:v>개념 단서</x:v>
      </x:c>
      <x:c r="D20" s="24" t="str">
        <x:v>관련 개념을 일부 언급함</x:v>
      </x:c>
      <x:c r="E20" s="24" t="n">
        <x:v>2</x:v>
      </x:c>
      <x:c r="F20" s="24" t="str">
        <x:v>초기 단계</x:v>
      </x:c>
    </x:row>
    <x:row r="21">
      <x:c r="A21" s="24" t="str">
        <x:v>ES03</x:v>
      </x:c>
      <x:c r="B21" s="25" t="n">
        <x:v>2</x:v>
      </x:c>
      <x:c r="C21" s="24" t="str">
        <x:v>부분 전략</x:v>
      </x:c>
      <x:c r="D21" s="24" t="str">
        <x:v>풀이 전략은 보이나 핵심 연결이 부족</x:v>
      </x:c>
      <x:c r="E21" s="24" t="n">
        <x:v>3</x:v>
      </x:c>
      <x:c r="F21" s="24" t="str">
        <x:v>부분 성취</x:v>
      </x:c>
    </x:row>
    <x:row r="22">
      <x:c r="A22" s="24" t="str">
        <x:v>ES03</x:v>
      </x:c>
      <x:c r="B22" s="25" t="n">
        <x:v>3</x:v>
      </x:c>
      <x:c r="C22" s="24" t="str">
        <x:v>중간 해결</x:v>
      </x:c>
      <x:c r="D22" s="24" t="str">
        <x:v>여러 조건 중 일부를 연결해 풀이함</x:v>
      </x:c>
      <x:c r="E22" s="24" t="n">
        <x:v>4</x:v>
      </x:c>
      <x:c r="F22" s="24" t="str">
        <x:v>중상 단계</x:v>
      </x:c>
    </x:row>
    <x:row r="23">
      <x:c r="A23" s="24" t="str">
        <x:v>ES03</x:v>
      </x:c>
      <x:c r="B23" s="25" t="n">
        <x:v>4</x:v>
      </x:c>
      <x:c r="C23" s="24" t="str">
        <x:v>거의 완성</x:v>
      </x:c>
      <x:c r="D23" s="24" t="str">
        <x:v>전체 흐름은 타당하나 계산/표현 오류</x:v>
      </x:c>
      <x:c r="E23" s="24" t="n">
        <x:v>5</x:v>
      </x:c>
      <x:c r="F23" s="24" t="str">
        <x:v>상위 부분점수</x:v>
      </x:c>
    </x:row>
    <x:row r="24">
      <x:c r="A24" s="24" t="str">
        <x:v>ES03</x:v>
      </x:c>
      <x:c r="B24" s="25" t="n">
        <x:v>5</x:v>
      </x:c>
      <x:c r="C24" s="24" t="str">
        <x:v>완전 정답</x:v>
      </x:c>
      <x:c r="D24" s="24" t="str">
        <x:v>복합 조건을 모두 연결해 정확히 해결</x:v>
      </x:c>
      <x:c r="E24" s="24" t="n">
        <x:v>6</x:v>
      </x:c>
      <x:c r="F24" s="24" t="str">
        <x:v>목표 성취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ccd917a40c94c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7.5" hidden="0" customWidth="1"/>
    <x:col min="7" max="7" width="14.380000114440918" hidden="0" customWidth="1"/>
    <x:col min="8" max="8" width="16.25" hidden="0" customWidth="1"/>
  </x:cols>
  <x:sheetData>
    <x:row r="1" ht="27" customHeight="1">
      <x:c r="A1" s="21" t="str">
        <x:v>검증_요약: 입력값 오류 확인</x:v>
      </x:c>
      <x:c r="B1" s="21"/>
      <x:c r="C1" s="21"/>
      <x:c r="D1" s="21"/>
      <x:c r="E1" s="21"/>
      <x:c r="F1" s="21"/>
      <x:c r="G1" s="21"/>
      <x:c r="H1" s="21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3" t="str">
        <x:v>item_id</x:v>
      </x:c>
      <x:c r="B3" s="23" t="str">
        <x:v>max_score</x:v>
      </x:c>
      <x:c r="C3" s="23" t="str">
        <x:v>observed_min</x:v>
      </x:c>
      <x:c r="D3" s="23" t="str">
        <x:v>observed_max</x:v>
      </x:c>
      <x:c r="E3" s="23" t="str">
        <x:v>blank_count</x:v>
      </x:c>
      <x:c r="F3" s="23" t="str">
        <x:v>invalid_score_count</x:v>
      </x:c>
      <x:c r="G3" s="23" t="str">
        <x:v>category_count</x:v>
      </x:c>
      <x:c r="H3" s="23" t="str">
        <x:v>status</x:v>
      </x:c>
    </x:row>
    <x:row r="4">
      <x:c r="A4" s="22" t="str">
        <x:v>SA01</x:v>
      </x:c>
      <x:c r="B4" s="22" t="n">
        <x:v>2</x:v>
      </x:c>
      <x:c r="C4" s="22" t="n">
        <x:f>MIN('학생_문항점수'!E$5:E$16)</x:f>
        <x:v>0</x:v>
      </x:c>
      <x:c r="D4" s="22" t="n">
        <x:f>MAX('학생_문항점수'!E$5:E$16)</x:f>
        <x:v>2</x:v>
      </x:c>
      <x:c r="E4" s="22" t="n">
        <x:f>COUNTBLANK('학생_문항점수'!E$5:E$16)</x:f>
        <x:v>0</x:v>
      </x:c>
      <x:c r="F4" s="22" t="n">
        <x:f>COUNTIF('학생_문항점수'!E$5:E$16,"&gt;"&amp;B4)+COUNTIF('학생_문항점수'!E$5:E$16,"&lt;0")</x:f>
        <x:v>0</x:v>
      </x:c>
      <x:c r="G4" s="22" t="n">
        <x:f>COUNTIF('범주_채점기준'!$A$4:$A$25,A4)</x:f>
        <x:v>3</x:v>
      </x:c>
      <x:c r="H4" s="22" t="str">
        <x:f>IF(F4=0,"OK","점수 범위 확인")</x:f>
        <x:v>OK</x:v>
      </x:c>
    </x:row>
    <x:row r="5">
      <x:c r="A5" s="22" t="str">
        <x:v>SA02</x:v>
      </x:c>
      <x:c r="B5" s="22" t="n">
        <x:v>2</x:v>
      </x:c>
      <x:c r="C5" s="22" t="n">
        <x:f>MIN('학생_문항점수'!F$5:F$16)</x:f>
        <x:v>0</x:v>
      </x:c>
      <x:c r="D5" s="22" t="n">
        <x:f>MAX('학생_문항점수'!F$5:F$16)</x:f>
        <x:v>2</x:v>
      </x:c>
      <x:c r="E5" s="22" t="n">
        <x:f>COUNTBLANK('학생_문항점수'!F$5:F$16)</x:f>
        <x:v>0</x:v>
      </x:c>
      <x:c r="F5" s="22" t="n">
        <x:f>COUNTIF('학생_문항점수'!F$5:F$16,"&gt;"&amp;B5)+COUNTIF('학생_문항점수'!F$5:F$16,"&lt;0")</x:f>
        <x:v>0</x:v>
      </x:c>
      <x:c r="G5" s="22" t="n">
        <x:f>COUNTIF('범주_채점기준'!$A$4:$A$25,A5)</x:f>
        <x:v>3</x:v>
      </x:c>
      <x:c r="H5" s="22" t="str">
        <x:f>IF(F5=0,"OK","점수 범위 확인")</x:f>
        <x:v>OK</x:v>
      </x:c>
    </x:row>
    <x:row r="6">
      <x:c r="A6" s="22" t="str">
        <x:v>ES01</x:v>
      </x:c>
      <x:c r="B6" s="22" t="n">
        <x:v>4</x:v>
      </x:c>
      <x:c r="C6" s="22" t="n">
        <x:f>MIN('학생_문항점수'!G$5:G$16)</x:f>
        <x:v>0</x:v>
      </x:c>
      <x:c r="D6" s="22" t="n">
        <x:f>MAX('학생_문항점수'!G$5:G$16)</x:f>
        <x:v>4</x:v>
      </x:c>
      <x:c r="E6" s="22" t="n">
        <x:f>COUNTBLANK('학생_문항점수'!G$5:G$16)</x:f>
        <x:v>0</x:v>
      </x:c>
      <x:c r="F6" s="22" t="n">
        <x:f>COUNTIF('학생_문항점수'!G$5:G$16,"&gt;"&amp;B6)+COUNTIF('학생_문항점수'!G$5:G$16,"&lt;0")</x:f>
        <x:v>0</x:v>
      </x:c>
      <x:c r="G6" s="22" t="n">
        <x:f>COUNTIF('범주_채점기준'!$A$4:$A$25,A6)</x:f>
        <x:v>5</x:v>
      </x:c>
      <x:c r="H6" s="22" t="str">
        <x:f>IF(F6=0,"OK","점수 범위 확인")</x:f>
        <x:v>OK</x:v>
      </x:c>
    </x:row>
    <x:row r="7">
      <x:c r="A7" s="22" t="str">
        <x:v>ES02</x:v>
      </x:c>
      <x:c r="B7" s="22" t="n">
        <x:v>3</x:v>
      </x:c>
      <x:c r="C7" s="22" t="n">
        <x:f>MIN('학생_문항점수'!H$5:H$16)</x:f>
        <x:v>0</x:v>
      </x:c>
      <x:c r="D7" s="22" t="n">
        <x:f>MAX('학생_문항점수'!H$5:H$16)</x:f>
        <x:v>3</x:v>
      </x:c>
      <x:c r="E7" s="22" t="n">
        <x:f>COUNTBLANK('학생_문항점수'!H$5:H$16)</x:f>
        <x:v>0</x:v>
      </x:c>
      <x:c r="F7" s="22" t="n">
        <x:f>COUNTIF('학생_문항점수'!H$5:H$16,"&gt;"&amp;B7)+COUNTIF('학생_문항점수'!H$5:H$16,"&lt;0")</x:f>
        <x:v>0</x:v>
      </x:c>
      <x:c r="G7" s="22" t="n">
        <x:f>COUNTIF('범주_채점기준'!$A$4:$A$25,A7)</x:f>
        <x:v>4</x:v>
      </x:c>
      <x:c r="H7" s="22" t="str">
        <x:f>IF(F7=0,"OK","점수 범위 확인")</x:f>
        <x:v>OK</x:v>
      </x:c>
    </x:row>
    <x:row r="8">
      <x:c r="A8" s="22" t="str">
        <x:v>ES03</x:v>
      </x:c>
      <x:c r="B8" s="22" t="n">
        <x:v>5</x:v>
      </x:c>
      <x:c r="C8" s="22" t="n">
        <x:f>MIN('학생_문항점수'!I$5:I$16)</x:f>
        <x:v>1</x:v>
      </x:c>
      <x:c r="D8" s="22" t="n">
        <x:f>MAX('학생_문항점수'!I$5:I$16)</x:f>
        <x:v>5</x:v>
      </x:c>
      <x:c r="E8" s="22" t="n">
        <x:f>COUNTBLANK('학생_문항점수'!I$5:I$16)</x:f>
        <x:v>1</x:v>
      </x:c>
      <x:c r="F8" s="22" t="n">
        <x:f>COUNTIF('학생_문항점수'!I$5:I$16,"&gt;"&amp;B8)+COUNTIF('학생_문항점수'!I$5:I$16,"&lt;0")</x:f>
        <x:v>0</x:v>
      </x:c>
      <x:c r="G8" s="22" t="n">
        <x:f>COUNTIF('범주_채점기준'!$A$4:$A$25,A8)</x:f>
        <x:v>6</x:v>
      </x:c>
      <x:c r="H8" s="22" t="str">
        <x:f>IF(F8=0,"OK","점수 범위 확인")</x:f>
        <x:v>OK</x:v>
      </x:c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22"/>
      <x:c r="B10" s="22"/>
      <x:c r="C10" s="22"/>
      <x:c r="D10" s="22"/>
      <x:c r="E10" s="22"/>
      <x:c r="F10" s="22"/>
      <x:c r="G10" s="22"/>
      <x:c r="H10" s="22"/>
    </x:row>
    <x:row r="11">
      <x:c r="A11" s="27" t="str">
        <x:v>좋은 입력 구조 체크리스트</x:v>
      </x:c>
      <x:c r="B11" s="24" t="str"/>
      <x:c r="C11" s="24" t="str"/>
      <x:c r="D11" s="24" t="str"/>
      <x:c r="E11" s="24" t="str"/>
      <x:c r="F11" s="24" t="str"/>
      <x:c r="G11" s="24" t="str"/>
      <x:c r="H11" s="24" t="str"/>
    </x:row>
    <x:row r="12">
      <x:c r="A12" s="24" t="str">
        <x:v>1</x:v>
      </x:c>
      <x:c r="B12" s="24" t="str">
        <x:v>문항_루브릭의 item_id와 학생_문항점수의 문항 열 이름이 일치한다.</x:v>
      </x:c>
      <x:c r="C12" s="24" t="str"/>
      <x:c r="D12" s="24" t="str"/>
      <x:c r="E12" s="24" t="str"/>
      <x:c r="F12" s="24" t="str"/>
      <x:c r="G12" s="24" t="str"/>
      <x:c r="H12" s="24" t="str"/>
    </x:row>
    <x:row r="13">
      <x:c r="A13" s="24" t="str">
        <x:v>2</x:v>
      </x:c>
      <x:c r="B13" s="24" t="str">
        <x:v>0점과 결측을 구분한다. 결측은 빈칸, 실제 0점은 숫자 0으로 입력한다.</x:v>
      </x:c>
      <x:c r="C13" s="24" t="str"/>
      <x:c r="D13" s="24" t="str"/>
      <x:c r="E13" s="24" t="str"/>
      <x:c r="F13" s="24" t="str"/>
      <x:c r="G13" s="24" t="str"/>
      <x:c r="H13" s="24" t="str"/>
    </x:row>
    <x:row r="14">
      <x:c r="A14" s="24" t="str">
        <x:v>3</x:v>
      </x:c>
      <x:c r="B14" s="24" t="str">
        <x:v>범주_채점기준에는 각 문항에서 가능한 모든 점수 범주가 빠짐없이 들어 있다.</x:v>
      </x:c>
      <x:c r="C14" s="24" t="str"/>
      <x:c r="D14" s="24" t="str"/>
      <x:c r="E14" s="24" t="str"/>
      <x:c r="F14" s="24" t="str"/>
      <x:c r="G14" s="24" t="str"/>
      <x:c r="H14" s="24" t="str"/>
    </x:row>
    <x:row r="15">
      <x:c r="A15" s="24" t="str">
        <x:v>4</x:v>
      </x:c>
      <x:c r="B15" s="24" t="str">
        <x:v>서술형 루브릭 단계가 순서형으로 해석 가능한지 확인한다.</x:v>
      </x:c>
      <x:c r="C15" s="24" t="str"/>
      <x:c r="D15" s="24" t="str"/>
      <x:c r="E15" s="24" t="str"/>
      <x:c r="F15" s="24" t="str"/>
      <x:c r="G15" s="24" t="str"/>
      <x:c r="H15" s="24" t="str"/>
    </x:row>
  </x:sheetData>
  <x:mergeCells>
    <x:mergeCell ref="A1:H1"/>
    <x:mergeCell ref="A11:H11"/>
    <x:mergeCell ref="B12:H12"/>
    <x:mergeCell ref="B13:H13"/>
    <x:mergeCell ref="B14:H14"/>
    <x:mergeCell ref="B15:H15"/>
  </x:mergeCells>
  <x:conditionalFormatting sqref="H4:H8">
    <x:cfRule type="containsText" dxfId="0" priority="1" operator="containsText" text="OK"/>
    <x:cfRule type="containsText" dxfId="1" priority="2" operator="containsText" text="확인"/>
  </x:conditionalFormatting>
  <x:pageMargins left="0.7" right="0.7" top="0.75" bottom="0.75" header="0.3" footer="0.3"/>
  <x:tableParts count="1">
    <x:tablePart xmlns:r="http://schemas.openxmlformats.org/officeDocument/2006/relationships" r:id="Rd790502605344453"/>
  </x:tableParts>
</x:worksheet>
</file>